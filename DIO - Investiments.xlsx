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sa Pinho\Documents\DIO\"/>
    </mc:Choice>
  </mc:AlternateContent>
  <xr:revisionPtr revIDLastSave="0" documentId="13_ncr:1_{5A73F0E4-AD2E-4BD7-8A25-5C3047DD9DAD}" xr6:coauthVersionLast="47" xr6:coauthVersionMax="47" xr10:uidLastSave="{00000000-0000-0000-0000-000000000000}"/>
  <bookViews>
    <workbookView xWindow="-120" yWindow="-120" windowWidth="24240" windowHeight="13140" xr2:uid="{1D171890-4799-433E-A59D-1BB9AF323602}"/>
  </bookViews>
  <sheets>
    <sheet name="DIO - Investiments" sheetId="1" r:id="rId1"/>
    <sheet name="Perfis Porcentagem" sheetId="2" r:id="rId2"/>
  </sheets>
  <definedNames>
    <definedName name="aporte">'DIO - Investiments'!$D$16</definedName>
    <definedName name="patrimonio_acumulado">'DIO - Investiments'!$D$19</definedName>
    <definedName name="qtd_anos">'DIO - Investiments'!$D$17</definedName>
    <definedName name="rendimento_carteira">'DIO - Investiments'!$D$12</definedName>
    <definedName name="salario">'DIO - Investiments'!$D$11</definedName>
    <definedName name="sugestao_investimento">'DIO - Investiments'!$D$13</definedName>
    <definedName name="taxa_mensal">'DIO - Investiments'!$D$18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C34" i="1"/>
  <c r="C35" i="1"/>
  <c r="C36" i="1"/>
  <c r="C37" i="1"/>
  <c r="C38" i="1"/>
  <c r="C33" i="1"/>
  <c r="A10" i="2"/>
  <c r="A16" i="2"/>
  <c r="A17" i="2"/>
  <c r="A18" i="2"/>
  <c r="A19" i="2"/>
  <c r="A20" i="2"/>
  <c r="A15" i="2"/>
  <c r="A11" i="2"/>
  <c r="A12" i="2"/>
  <c r="A13" i="2"/>
  <c r="A14" i="2"/>
  <c r="A9" i="2"/>
  <c r="A4" i="2"/>
  <c r="A5" i="2"/>
  <c r="A6" i="2"/>
  <c r="A7" i="2"/>
  <c r="A8" i="2"/>
  <c r="A3" i="2"/>
  <c r="C30" i="1"/>
  <c r="D19" i="1"/>
  <c r="D20" i="1" s="1"/>
  <c r="C27" i="1"/>
  <c r="D27" i="1" s="1"/>
  <c r="C26" i="1"/>
  <c r="D26" i="1" s="1"/>
  <c r="C25" i="1"/>
  <c r="D25" i="1" s="1"/>
  <c r="C24" i="1"/>
  <c r="D24" i="1" s="1"/>
  <c r="C23" i="1"/>
  <c r="D23" i="1" s="1"/>
  <c r="D37" i="1" l="1"/>
  <c r="D36" i="1"/>
  <c r="D33" i="1"/>
  <c r="D35" i="1"/>
  <c r="D38" i="1"/>
  <c r="D34" i="1"/>
  <c r="D39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<sst xmlns="http://schemas.openxmlformats.org/spreadsheetml/2006/main" count="69" uniqueCount="34">
  <si>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</si>
  <si>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</si>
  <si>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</si>
  <si>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Patrimônio acumulado</t>
  </si>
  <si>
    <t>Dividendos Mensais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</si>
  <si>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</si>
  <si>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</si>
  <si>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</si>
  <si>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</si>
  <si>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</si>
  <si>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</si>
  <si>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Rendimento Carteira</t>
  </si>
  <si>
    <t>Salário</t>
  </si>
  <si>
    <t>Sugestão de Investimento</t>
  </si>
  <si>
    <t>CONFIGURAÇÕES</t>
  </si>
  <si>
    <t>INVESTIMENTO MENSAL</t>
  </si>
  <si>
    <t>CENÁRIOS</t>
  </si>
  <si>
    <t>Perfil</t>
  </si>
  <si>
    <t>Agressivo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</si>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</sst>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0"/>
      <name val="Segoe UI Black"/>
      <family val="2"/>
    </font>
    <font>
      <b/>
      <sz val="20"/>
      <color theme="0"/>
      <name val="Segoe UI Black"/>
      <family val="2"/>
    </font>
    <font>
      <b/>
      <sz val="16"/>
      <color theme="0"/>
      <name val="Segoe UI Black"/>
      <family val="2"/>
    </font>
    <font>
      <b/>
      <sz val="12"/>
      <color theme="1"/>
      <name val="Segoe UI Semibold"/>
      <family val="2"/>
    </font>
    <font>
      <b/>
      <sz val="11"/>
      <color theme="1"/>
      <name val="Segoe UI Semibold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9" fontId="0" fillId="0" borderId="0" xfId="0" applyNumberFormat="1"/>
    <xf numFmtId="0" fontId="9" fillId="0" borderId="0" xfId="0" applyFont="1"/>
    <xf numFmtId="0" fontId="6" fillId="0" borderId="0" xfId="0" applyFont="1"/>
    <xf numFmtId="8" fontId="13" fillId="5" borderId="9" xfId="0" applyNumberFormat="1" applyFont="1" applyFill="1" applyBorder="1" applyAlignment="1">
      <alignment horizontal="center" vertical="center"/>
    </xf>
    <xf numFmtId="8" fontId="13" fillId="5" borderId="12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 indent="2"/>
    </xf>
    <xf numFmtId="8" fontId="13" fillId="3" borderId="5" xfId="0" applyNumberFormat="1" applyFont="1" applyFill="1" applyBorder="1" applyAlignment="1">
      <alignment horizontal="center" vertical="center"/>
    </xf>
    <xf numFmtId="8" fontId="13" fillId="3" borderId="6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left" vertical="center" indent="2"/>
    </xf>
    <xf numFmtId="8" fontId="13" fillId="3" borderId="8" xfId="0" applyNumberFormat="1" applyFont="1" applyFill="1" applyBorder="1" applyAlignment="1">
      <alignment horizontal="center" vertical="center"/>
    </xf>
    <xf numFmtId="8" fontId="13" fillId="3" borderId="9" xfId="0" applyNumberFormat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 indent="2"/>
    </xf>
    <xf numFmtId="8" fontId="13" fillId="3" borderId="11" xfId="0" applyNumberFormat="1" applyFont="1" applyFill="1" applyBorder="1" applyAlignment="1">
      <alignment horizontal="center" vertical="center"/>
    </xf>
    <xf numFmtId="8" fontId="13" fillId="3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13" xfId="0" applyFont="1" applyFill="1" applyBorder="1"/>
    <xf numFmtId="9" fontId="0" fillId="0" borderId="0" xfId="0" applyNumberFormat="1" applyAlignment="1">
      <alignment horizontal="center" vertical="center"/>
    </xf>
    <xf numFmtId="0" fontId="2" fillId="2" borderId="1" xfId="2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5" fillId="9" borderId="0" xfId="0" applyFont="1" applyFill="1"/>
    <xf numFmtId="164" fontId="3" fillId="9" borderId="0" xfId="0" applyNumberFormat="1" applyFont="1" applyFill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9" fontId="0" fillId="4" borderId="18" xfId="0" applyNumberFormat="1" applyFill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left" vertical="center" indent="2"/>
    </xf>
    <xf numFmtId="0" fontId="13" fillId="5" borderId="11" xfId="0" applyFont="1" applyFill="1" applyBorder="1" applyAlignment="1">
      <alignment horizontal="left" vertical="center" indent="2"/>
    </xf>
    <xf numFmtId="164" fontId="0" fillId="6" borderId="14" xfId="0" applyNumberFormat="1" applyFill="1" applyBorder="1" applyAlignment="1">
      <alignment horizontal="center" vertical="center"/>
    </xf>
    <xf numFmtId="164" fontId="0" fillId="6" borderId="15" xfId="0" applyNumberForma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 indent="2"/>
    </xf>
    <xf numFmtId="0" fontId="13" fillId="3" borderId="5" xfId="0" applyFont="1" applyFill="1" applyBorder="1" applyAlignment="1">
      <alignment horizontal="left" vertical="center" indent="2"/>
    </xf>
    <xf numFmtId="0" fontId="13" fillId="3" borderId="7" xfId="0" applyFont="1" applyFill="1" applyBorder="1" applyAlignment="1">
      <alignment horizontal="left" vertical="center" indent="2"/>
    </xf>
    <xf numFmtId="0" fontId="13" fillId="3" borderId="8" xfId="0" applyFont="1" applyFill="1" applyBorder="1" applyAlignment="1">
      <alignment horizontal="left" vertical="center" indent="2"/>
    </xf>
    <xf numFmtId="0" fontId="13" fillId="3" borderId="10" xfId="0" applyFont="1" applyFill="1" applyBorder="1" applyAlignment="1">
      <alignment horizontal="left" vertical="center" indent="2"/>
    </xf>
    <xf numFmtId="0" fontId="13" fillId="3" borderId="11" xfId="0" applyFont="1" applyFill="1" applyBorder="1" applyAlignment="1">
      <alignment horizontal="left" vertical="center" indent="2"/>
    </xf>
    <xf numFmtId="0" fontId="11" fillId="10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left" vertical="center" indent="2"/>
    </xf>
    <xf numFmtId="0" fontId="13" fillId="5" borderId="8" xfId="0" applyFont="1" applyFill="1" applyBorder="1" applyAlignment="1">
      <alignment horizontal="left" vertical="center" indent="2"/>
    </xf>
    <xf numFmtId="0" fontId="10" fillId="7" borderId="1" xfId="0" applyFont="1" applyFill="1" applyBorder="1" applyAlignment="1" applyProtection="1">
      <alignment horizontal="center" vertical="center"/>
    </xf>
    <xf numFmtId="0" fontId="10" fillId="7" borderId="2" xfId="0" applyFont="1" applyFill="1" applyBorder="1" applyAlignment="1" applyProtection="1">
      <alignment horizontal="center" vertical="center"/>
    </xf>
    <xf numFmtId="0" fontId="8" fillId="7" borderId="3" xfId="0" applyFont="1" applyFill="1" applyBorder="1" applyAlignment="1" applyProtection="1">
      <alignment vertical="center"/>
    </xf>
    <xf numFmtId="164" fontId="14" fillId="0" borderId="6" xfId="1" applyNumberFormat="1" applyFont="1" applyBorder="1" applyAlignment="1" applyProtection="1">
      <alignment horizontal="center" vertical="center"/>
      <protection locked="0"/>
    </xf>
    <xf numFmtId="10" fontId="14" fillId="0" borderId="9" xfId="0" applyNumberFormat="1" applyFont="1" applyBorder="1" applyAlignment="1" applyProtection="1">
      <alignment horizontal="center" vertical="center"/>
      <protection locked="0"/>
    </xf>
    <xf numFmtId="164" fontId="13" fillId="0" borderId="6" xfId="0" applyNumberFormat="1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10" fontId="13" fillId="0" borderId="9" xfId="0" applyNumberFormat="1" applyFont="1" applyBorder="1" applyAlignment="1" applyProtection="1">
      <alignment horizontal="center" vertical="center"/>
      <protection locked="0"/>
    </xf>
    <xf numFmtId="164" fontId="14" fillId="0" borderId="12" xfId="0" applyNumberFormat="1" applyFont="1" applyBorder="1" applyAlignment="1" applyProtection="1">
      <alignment horizontal="center" vertical="center"/>
    </xf>
    <xf numFmtId="0" fontId="2" fillId="2" borderId="2" xfId="2" applyBorder="1" applyAlignment="1" applyProtection="1">
      <alignment horizontal="center" vertical="center"/>
      <protection locked="0"/>
    </xf>
    <xf numFmtId="0" fontId="2" fillId="2" borderId="3" xfId="2" applyBorder="1" applyAlignment="1" applyProtection="1">
      <alignment horizontal="center" vertical="center"/>
      <protection locked="0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080628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'DIO - Investiments'!$C$32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82-46C9-A3F5-5EBF3B912E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82-46C9-A3F5-5EBF3B912E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82-46C9-A3F5-5EBF3B912E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82-46C9-A3F5-5EBF3B912E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82-46C9-A3F5-5EBF3B912E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82-46C9-A3F5-5EBF3B912E4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'DIO - Investiments'!$B$33:$B$38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'DIO - Investiments'!$C$33:$C$38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0.05</c:v>
                </c:pt>
                <c:pt idx="4">
                  <c:v>0.05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2-49A7-A8A9-3D112F85C94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25963827866856"/>
          <c:y val="0.23784558180227475"/>
          <c:w val="0.22011460655143636"/>
          <c:h val="0.5706051326917468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185944</xdr:colOff>
      <xdr:row>0</xdr:row>
      <xdr:rowOff>0</xdr:rowOff>
    </xdr:from>
    <xdr:to>
      <xdr:col>4</xdr:col>
      <xdr:colOff>9525</xdr:colOff>
      <xdr:row>7</xdr:row>
      <xdr:rowOff>189257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06BFE0-AC84-1D8E-F265-D75AA3DC8E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" t="1357" r="1398" b="2349"/>
        <a:stretch/>
      </xdr:blipFill>
      <xdr:spPr>
        <a:xfrm>
          <a:off x="185944" y="0"/>
          <a:ext cx="5538581" cy="1522757"/>
        </a:xfrm>
        <a:prstGeom prst="rect">
          <a:avLst/>
        </a:prstGeom>
      </xdr:spPr>
    </xdr:pic>
    <xdr:clientData/>
  </xdr:twoCellAnchor>
  <xdr:twoCellAnchor>
    <xdr:from>
      <xdr:col>1</xdr:col>
      <xdr:colOff>14286</xdr:colOff>
      <xdr:row>39</xdr:row>
      <xdr:rowOff>61912</xdr:rowOff>
    </xdr:from>
    <xdr:to>
      <xdr:col>4</xdr:col>
      <xdr:colOff>9524</xdr:colOff>
      <xdr:row>53</xdr:row>
      <xdr:rowOff>138112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160644B-3E14-64FF-0924-3F501B265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5A55-9E9F-4851-981C-BDC41FF967FA}">
  <dimension ref="A1:K74"/>
  <sheetViews>
    <sheetView showGridLines="0" tabSelected="1" topLeftCell="A20" zoomScaleNormal="100" workbookViewId="0">
      <selection activeCell="C32" sqref="C32"/>
    </sheetView>
  </sheetViews>
  <sheetFormatPr defaultColWidth="0" defaultRowHeight="15" zeroHeight="1" x14ac:dyDescent="0.25"/>
  <cols>
    <col min="1" max="1" width="3.5703125" customWidth="1"/>
    <col min="2" max="2" width="44.5703125" customWidth="1"/>
    <col min="3" max="3" width="18.85546875" bestFit="1" customWidth="1"/>
    <col min="4" max="4" width="18.7109375" customWidth="1"/>
    <col min="5" max="5" width="3.5703125" customWidth="1"/>
    <col min="6" max="6" width="12.140625" hidden="1" customWidth="1"/>
    <col min="7" max="7" width="4" hidden="1" customWidth="1"/>
    <col min="8" max="8" width="3.5703125" hidden="1" customWidth="1"/>
    <col min="9" max="11" width="9.140625" hidden="1" customWidth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ht="15.75" thickBot="1" x14ac:dyDescent="0.3"/>
    <row r="10" spans="2:4" ht="27" thickBot="1" x14ac:dyDescent="0.3">
      <c r="B10" s="47" t="s">
        <v>14</v>
      </c>
      <c r="C10" s="48"/>
      <c r="D10" s="49"/>
    </row>
    <row r="11" spans="2:4" ht="15.75" customHeight="1" thickBot="1" x14ac:dyDescent="0.3">
      <c r="B11" s="37" t="s">
        <v>12</v>
      </c>
      <c r="C11" s="38"/>
      <c r="D11" s="50">
        <v>3500</v>
      </c>
    </row>
    <row r="12" spans="2:4" ht="15.75" customHeight="1" thickBot="1" x14ac:dyDescent="0.3">
      <c r="B12" s="39" t="s">
        <v>11</v>
      </c>
      <c r="C12" s="40"/>
      <c r="D12" s="51">
        <v>6.0000000000000001E-3</v>
      </c>
    </row>
    <row r="13" spans="2:4" ht="15.75" customHeight="1" thickBot="1" x14ac:dyDescent="0.3">
      <c r="B13" s="41" t="s">
        <v>13</v>
      </c>
      <c r="C13" s="42"/>
      <c r="D13" s="55">
        <f>D11*30%</f>
        <v>1050</v>
      </c>
    </row>
    <row r="14" spans="2:4" ht="15.75" thickBot="1" x14ac:dyDescent="0.3"/>
    <row r="15" spans="2:4" ht="35.25" customHeight="1" thickBot="1" x14ac:dyDescent="0.3">
      <c r="B15" s="43" t="s">
        <v>15</v>
      </c>
      <c r="C15" s="44"/>
      <c r="D15" s="31"/>
    </row>
    <row r="16" spans="2:4" s="2" customFormat="1" ht="18" thickBot="1" x14ac:dyDescent="0.3">
      <c r="B16" s="37" t="s">
        <v>0</v>
      </c>
      <c r="C16" s="38"/>
      <c r="D16" s="52">
        <v>560</v>
      </c>
    </row>
    <row r="17" spans="1:4" s="2" customFormat="1" ht="18" thickBot="1" x14ac:dyDescent="0.3">
      <c r="B17" s="39" t="s">
        <v>1</v>
      </c>
      <c r="C17" s="40"/>
      <c r="D17" s="53">
        <v>5</v>
      </c>
    </row>
    <row r="18" spans="1:4" s="2" customFormat="1" ht="18" thickBot="1" x14ac:dyDescent="0.3">
      <c r="B18" s="39" t="s">
        <v>2</v>
      </c>
      <c r="C18" s="40"/>
      <c r="D18" s="54">
        <v>1.0789999999999999E-2</v>
      </c>
    </row>
    <row r="19" spans="1:4" s="2" customFormat="1" ht="18" thickBot="1" x14ac:dyDescent="0.3">
      <c r="B19" s="45" t="s">
        <v>3</v>
      </c>
      <c r="C19" s="46"/>
      <c r="D19" s="4">
        <f>FV(taxa_mensal,qtd_anos*12,aporte*-1)</f>
        <v>46915.071839153083</v>
      </c>
    </row>
    <row r="20" spans="1:4" s="2" customFormat="1" ht="18" thickBot="1" x14ac:dyDescent="0.3">
      <c r="B20" s="33" t="s">
        <v>4</v>
      </c>
      <c r="C20" s="34"/>
      <c r="D20" s="5">
        <f>patrimonio_acumulado*rendimento_carteira</f>
        <v>281.49043103491852</v>
      </c>
    </row>
    <row r="21" spans="1:4" ht="15.75" thickBot="1" x14ac:dyDescent="0.3"/>
    <row r="22" spans="1:4" ht="31.5" thickBot="1" x14ac:dyDescent="0.3">
      <c r="B22" s="43" t="s">
        <v>16</v>
      </c>
      <c r="C22" s="44"/>
      <c r="D22" s="32" t="s">
        <v>10</v>
      </c>
    </row>
    <row r="23" spans="1:4" s="2" customFormat="1" ht="18" thickBot="1" x14ac:dyDescent="0.3">
      <c r="A23" s="3">
        <v>2</v>
      </c>
      <c r="B23" s="6" t="s">
        <v>5</v>
      </c>
      <c r="C23" s="7">
        <f>FV($D$18,A$23*12,$D$16*-1)</f>
        <v>15247.471286681321</v>
      </c>
      <c r="D23" s="8">
        <f>C23*rendimento_carteira</f>
        <v>91.484827720087921</v>
      </c>
    </row>
    <row r="24" spans="1:4" s="2" customFormat="1" ht="18" thickBot="1" x14ac:dyDescent="0.3">
      <c r="A24" s="3">
        <v>5</v>
      </c>
      <c r="B24" s="9" t="s">
        <v>6</v>
      </c>
      <c r="C24" s="10">
        <f>FV($D$18,A$24*12,$D$16*-1)</f>
        <v>46915.071839153083</v>
      </c>
      <c r="D24" s="11">
        <f>C24*rendimento_carteira</f>
        <v>281.49043103491852</v>
      </c>
    </row>
    <row r="25" spans="1:4" s="2" customFormat="1" ht="18" thickBot="1" x14ac:dyDescent="0.3">
      <c r="A25" s="3">
        <v>10</v>
      </c>
      <c r="B25" s="9" t="s">
        <v>7</v>
      </c>
      <c r="C25" s="10">
        <f>FV($D$18,A$25*12,$D$16*-1)</f>
        <v>136239.15901689642</v>
      </c>
      <c r="D25" s="11">
        <f>C25*rendimento_carteira</f>
        <v>817.43495410137848</v>
      </c>
    </row>
    <row r="26" spans="1:4" s="2" customFormat="1" ht="18" thickBot="1" x14ac:dyDescent="0.3">
      <c r="A26" s="3">
        <v>20</v>
      </c>
      <c r="B26" s="9" t="s">
        <v>8</v>
      </c>
      <c r="C26" s="10">
        <f>FV($D$18,A$26*12,$D$16*-1)</f>
        <v>630111.10405436507</v>
      </c>
      <c r="D26" s="11">
        <f>C26*rendimento_carteira</f>
        <v>3780.6666243261907</v>
      </c>
    </row>
    <row r="27" spans="1:4" s="2" customFormat="1" ht="18" thickBot="1" x14ac:dyDescent="0.3">
      <c r="A27" s="3">
        <v>30</v>
      </c>
      <c r="B27" s="12" t="s">
        <v>9</v>
      </c>
      <c r="C27" s="13">
        <f>FV($D$18,A$27*12,$D$16*-1)</f>
        <v>2420415.0068026399</v>
      </c>
      <c r="D27" s="14">
        <f>C27*rendimento_carteira</f>
        <v>14522.490040815839</v>
      </c>
    </row>
    <row r="28" spans="1:4" ht="15.75" thickBot="1" x14ac:dyDescent="0.3"/>
    <row r="29" spans="1:4" ht="15.75" thickBot="1" x14ac:dyDescent="0.3">
      <c r="B29" s="18" t="s">
        <v>17</v>
      </c>
      <c r="C29" s="56" t="s">
        <v>20</v>
      </c>
      <c r="D29" s="57"/>
    </row>
    <row r="30" spans="1:4" ht="15.75" thickBot="1" x14ac:dyDescent="0.3">
      <c r="B30" s="16" t="s">
        <v>21</v>
      </c>
      <c r="C30" s="35">
        <f>aporte</f>
        <v>560</v>
      </c>
      <c r="D30" s="36"/>
    </row>
    <row r="31" spans="1:4" x14ac:dyDescent="0.25"/>
    <row r="32" spans="1:4" x14ac:dyDescent="0.25">
      <c r="B32" s="22" t="s">
        <v>22</v>
      </c>
      <c r="C32" s="22" t="s">
        <v>23</v>
      </c>
      <c r="D32" s="22" t="s">
        <v>24</v>
      </c>
    </row>
    <row r="33" spans="2:4" x14ac:dyDescent="0.25">
      <c r="B33" s="19" t="s">
        <v>25</v>
      </c>
      <c r="C33" s="20">
        <f>VLOOKUP($C$29&amp;"-"&amp;B33,'Perfis Porcentagem'!$A:$D,4,FALSE)</f>
        <v>0.3</v>
      </c>
      <c r="D33" s="21">
        <f>C33*$C$30</f>
        <v>168</v>
      </c>
    </row>
    <row r="34" spans="2:4" x14ac:dyDescent="0.25">
      <c r="B34" s="19" t="s">
        <v>26</v>
      </c>
      <c r="C34" s="20">
        <f>VLOOKUP($C$29&amp;"-"&amp;B34,'Perfis Porcentagem'!$A:$D,4,FALSE)</f>
        <v>0.5</v>
      </c>
      <c r="D34" s="21">
        <f t="shared" ref="D34:D38" si="0">C34*$C$30</f>
        <v>280</v>
      </c>
    </row>
    <row r="35" spans="2:4" x14ac:dyDescent="0.25">
      <c r="B35" s="19" t="s">
        <v>27</v>
      </c>
      <c r="C35" s="20">
        <f>VLOOKUP($C$29&amp;"-"&amp;B35,'Perfis Porcentagem'!$A:$D,4,FALSE)</f>
        <v>0.1</v>
      </c>
      <c r="D35" s="21">
        <f t="shared" si="0"/>
        <v>56</v>
      </c>
    </row>
    <row r="36" spans="2:4" x14ac:dyDescent="0.25">
      <c r="B36" s="19" t="s">
        <v>28</v>
      </c>
      <c r="C36" s="20">
        <f>VLOOKUP($C$29&amp;"-"&amp;B36,'Perfis Porcentagem'!$A:$D,4,FALSE)</f>
        <v>0.05</v>
      </c>
      <c r="D36" s="21">
        <f t="shared" si="0"/>
        <v>28</v>
      </c>
    </row>
    <row r="37" spans="2:4" x14ac:dyDescent="0.25">
      <c r="B37" s="19" t="s">
        <v>29</v>
      </c>
      <c r="C37" s="20">
        <f>VLOOKUP($C$29&amp;"-"&amp;B37,'Perfis Porcentagem'!$A:$D,4,FALSE)</f>
        <v>0.05</v>
      </c>
      <c r="D37" s="21">
        <f t="shared" si="0"/>
        <v>28</v>
      </c>
    </row>
    <row r="38" spans="2:4" x14ac:dyDescent="0.25">
      <c r="B38" s="19" t="s">
        <v>30</v>
      </c>
      <c r="C38" s="20">
        <f>VLOOKUP($C$29&amp;"-"&amp;B38,'Perfis Porcentagem'!$A:$D,4,FALSE)</f>
        <v>0</v>
      </c>
      <c r="D38" s="21">
        <f t="shared" si="0"/>
        <v>0</v>
      </c>
    </row>
    <row r="39" spans="2:4" x14ac:dyDescent="0.25">
      <c r="B39" s="23"/>
      <c r="C39" s="23"/>
      <c r="D39" s="24">
        <f>SUM(D33:D38)</f>
        <v>560</v>
      </c>
    </row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hidden="1" x14ac:dyDescent="0.25"/>
    <row r="56" customFormat="1" hidden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  <row r="66" customFormat="1" hidden="1" x14ac:dyDescent="0.25"/>
    <row r="67" customFormat="1" hidden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  <row r="72" customFormat="1" hidden="1" x14ac:dyDescent="0.25"/>
    <row r="73" customFormat="1" hidden="1" x14ac:dyDescent="0.25"/>
    <row r="74" customFormat="1" hidden="1" x14ac:dyDescent="0.25"/>
  </sheetData>
  <sheetProtection autoFilter="0"/>
  <mergeCells count="13">
    <mergeCell ref="B20:C20"/>
    <mergeCell ref="C29:D29"/>
    <mergeCell ref="C30:D30"/>
    <mergeCell ref="B10:C10"/>
    <mergeCell ref="B11:C11"/>
    <mergeCell ref="B12:C12"/>
    <mergeCell ref="B13:C13"/>
    <mergeCell ref="B15:C15"/>
    <mergeCell ref="B22:C22"/>
    <mergeCell ref="B16:C16"/>
    <mergeCell ref="B17:C17"/>
    <mergeCell ref="B18:C18"/>
    <mergeCell ref="B19:C19"/>
  </mergeCells>
  <dataValidations count="1">
    <dataValidation type="list" allowBlank="1" showInputMessage="1" showErrorMessage="1" sqref="C29" xr:uid="{86C82D22-E981-4426-83AD-729A8B212955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FEFC-DADA-43AD-9C20-13BA33B6B463}">
  <dimension ref="A2:G20"/>
  <sheetViews>
    <sheetView workbookViewId="0">
      <selection activeCell="D11" sqref="D11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9.140625" style="15"/>
    <col min="6" max="6" width="16.85546875" bestFit="1" customWidth="1"/>
    <col min="7" max="7" width="9.140625" style="1"/>
  </cols>
  <sheetData>
    <row r="2" spans="1:7" x14ac:dyDescent="0.25">
      <c r="A2" s="15" t="s">
        <v>33</v>
      </c>
      <c r="B2" t="s">
        <v>31</v>
      </c>
      <c r="C2" s="15" t="s">
        <v>22</v>
      </c>
      <c r="D2" s="15" t="s">
        <v>32</v>
      </c>
      <c r="G2"/>
    </row>
    <row r="3" spans="1:7" x14ac:dyDescent="0.25">
      <c r="A3" t="str">
        <f>B3&amp;"-"&amp;C3</f>
        <v>Conservador-PAPEL</v>
      </c>
      <c r="B3" t="s">
        <v>20</v>
      </c>
      <c r="C3" s="15" t="s">
        <v>25</v>
      </c>
      <c r="D3" s="25">
        <v>0.3</v>
      </c>
      <c r="G3"/>
    </row>
    <row r="4" spans="1:7" x14ac:dyDescent="0.25">
      <c r="A4" t="str">
        <f t="shared" ref="A4:A14" si="0">B4&amp;"-"&amp;C4</f>
        <v>Conservador-TIJOLO</v>
      </c>
      <c r="B4" t="s">
        <v>20</v>
      </c>
      <c r="C4" s="15" t="s">
        <v>26</v>
      </c>
      <c r="D4" s="25">
        <v>0.5</v>
      </c>
    </row>
    <row r="5" spans="1:7" x14ac:dyDescent="0.25">
      <c r="A5" t="str">
        <f t="shared" si="0"/>
        <v>Conservador-HÍBRIDOS</v>
      </c>
      <c r="B5" t="s">
        <v>20</v>
      </c>
      <c r="C5" s="15" t="s">
        <v>27</v>
      </c>
      <c r="D5" s="25">
        <v>0.1</v>
      </c>
    </row>
    <row r="6" spans="1:7" x14ac:dyDescent="0.25">
      <c r="A6" t="str">
        <f t="shared" si="0"/>
        <v>Conservador-FOFs</v>
      </c>
      <c r="B6" t="s">
        <v>20</v>
      </c>
      <c r="C6" s="15" t="s">
        <v>28</v>
      </c>
      <c r="D6" s="25">
        <v>0.05</v>
      </c>
    </row>
    <row r="7" spans="1:7" x14ac:dyDescent="0.25">
      <c r="A7" t="str">
        <f t="shared" si="0"/>
        <v>Conservador-DESENVOLVIMENTO</v>
      </c>
      <c r="B7" t="s">
        <v>20</v>
      </c>
      <c r="C7" s="15" t="s">
        <v>29</v>
      </c>
      <c r="D7" s="25">
        <v>0.05</v>
      </c>
    </row>
    <row r="8" spans="1:7" ht="15.75" thickBot="1" x14ac:dyDescent="0.3">
      <c r="A8" s="26" t="str">
        <f t="shared" si="0"/>
        <v>Conservador-HOTELARIAS</v>
      </c>
      <c r="B8" s="26" t="s">
        <v>20</v>
      </c>
      <c r="C8" s="27" t="s">
        <v>30</v>
      </c>
      <c r="D8" s="28">
        <v>0</v>
      </c>
    </row>
    <row r="9" spans="1:7" x14ac:dyDescent="0.25">
      <c r="A9" t="str">
        <f t="shared" si="0"/>
        <v>Moderado-PAPEL</v>
      </c>
      <c r="B9" t="s">
        <v>19</v>
      </c>
      <c r="C9" s="15" t="s">
        <v>25</v>
      </c>
      <c r="D9" s="29">
        <v>0.32</v>
      </c>
    </row>
    <row r="10" spans="1:7" x14ac:dyDescent="0.25">
      <c r="A10" t="str">
        <f>B10&amp;"-"&amp;C10</f>
        <v>Moderado-TIJOLO</v>
      </c>
      <c r="B10" t="s">
        <v>19</v>
      </c>
      <c r="C10" s="15" t="s">
        <v>26</v>
      </c>
      <c r="D10" s="17">
        <v>0.35</v>
      </c>
    </row>
    <row r="11" spans="1:7" x14ac:dyDescent="0.25">
      <c r="A11" t="str">
        <f t="shared" si="0"/>
        <v>Moderado-HÍBRIDOS</v>
      </c>
      <c r="B11" t="s">
        <v>19</v>
      </c>
      <c r="C11" s="15" t="s">
        <v>27</v>
      </c>
      <c r="D11" s="17">
        <v>0.08</v>
      </c>
    </row>
    <row r="12" spans="1:7" x14ac:dyDescent="0.25">
      <c r="A12" t="str">
        <f t="shared" si="0"/>
        <v>Moderado-FOFs</v>
      </c>
      <c r="B12" t="s">
        <v>19</v>
      </c>
      <c r="C12" s="15" t="s">
        <v>28</v>
      </c>
      <c r="D12" s="17">
        <v>0.05</v>
      </c>
    </row>
    <row r="13" spans="1:7" x14ac:dyDescent="0.25">
      <c r="A13" t="str">
        <f t="shared" si="0"/>
        <v>Moderado-DESENVOLVIMENTO</v>
      </c>
      <c r="B13" t="s">
        <v>19</v>
      </c>
      <c r="C13" s="15" t="s">
        <v>29</v>
      </c>
      <c r="D13" s="17">
        <v>0.1</v>
      </c>
    </row>
    <row r="14" spans="1:7" ht="15.75" thickBot="1" x14ac:dyDescent="0.3">
      <c r="A14" s="26" t="str">
        <f t="shared" si="0"/>
        <v>Moderado-HOTELARIAS</v>
      </c>
      <c r="B14" s="26" t="s">
        <v>19</v>
      </c>
      <c r="C14" s="27" t="s">
        <v>30</v>
      </c>
      <c r="D14" s="30">
        <v>0.1</v>
      </c>
    </row>
    <row r="15" spans="1:7" x14ac:dyDescent="0.25">
      <c r="A15" t="str">
        <f>B15&amp;"-"&amp;C15</f>
        <v>Agressivo-PAPEL</v>
      </c>
      <c r="B15" t="s">
        <v>18</v>
      </c>
      <c r="C15" s="15" t="s">
        <v>25</v>
      </c>
      <c r="D15" s="17">
        <v>0.5</v>
      </c>
    </row>
    <row r="16" spans="1:7" x14ac:dyDescent="0.25">
      <c r="A16" t="str">
        <f t="shared" ref="A16:A20" si="1">B16&amp;"-"&amp;C16</f>
        <v>Agressivo-TIJOLO</v>
      </c>
      <c r="B16" t="s">
        <v>18</v>
      </c>
      <c r="C16" s="15" t="s">
        <v>26</v>
      </c>
      <c r="D16" s="17">
        <v>0.1</v>
      </c>
    </row>
    <row r="17" spans="1:4" x14ac:dyDescent="0.25">
      <c r="A17" t="str">
        <f t="shared" si="1"/>
        <v>Agressivo-HÍBRIDOS</v>
      </c>
      <c r="B17" t="s">
        <v>18</v>
      </c>
      <c r="C17" s="15" t="s">
        <v>27</v>
      </c>
      <c r="D17" s="17">
        <v>0.05</v>
      </c>
    </row>
    <row r="18" spans="1:4" x14ac:dyDescent="0.25">
      <c r="A18" t="str">
        <f t="shared" si="1"/>
        <v>Agressivo-FOFs</v>
      </c>
      <c r="B18" t="s">
        <v>18</v>
      </c>
      <c r="C18" s="15" t="s">
        <v>28</v>
      </c>
      <c r="D18" s="17">
        <v>0.05</v>
      </c>
    </row>
    <row r="19" spans="1:4" x14ac:dyDescent="0.25">
      <c r="A19" t="str">
        <f t="shared" si="1"/>
        <v>Agressivo-DESENVOLVIMENTO</v>
      </c>
      <c r="B19" t="s">
        <v>18</v>
      </c>
      <c r="C19" s="15" t="s">
        <v>29</v>
      </c>
      <c r="D19" s="17">
        <v>0.2</v>
      </c>
    </row>
    <row r="20" spans="1:4" x14ac:dyDescent="0.25">
      <c r="A20" t="str">
        <f t="shared" si="1"/>
        <v>Agressivo-HOTELARIAS</v>
      </c>
      <c r="B20" t="s">
        <v>18</v>
      </c>
      <c r="C20" s="15" t="s">
        <v>30</v>
      </c>
      <c r="D20" s="1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DIO - Investiments</vt:lpstr>
      <vt:lpstr>Perfis Porcentagem</vt:lpstr>
      <vt:lpstr>aporte</vt:lpstr>
      <vt:lpstr>patrimonio_acumulado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m.eduarda.pbarreto@gmail.com</dc:creator>
  <cp:lastModifiedBy>m.eduarda.pbarreto@gmail.com</cp:lastModifiedBy>
  <dcterms:created xsi:type="dcterms:W3CDTF">2026-09-20T14:01:33Z</dcterms:created>
  <dcterms:modified xsi:type="dcterms:W3CDTF">2026-09-21T01:59:06Z</dcterms:modified>
</cp:coreProperties>
</file>